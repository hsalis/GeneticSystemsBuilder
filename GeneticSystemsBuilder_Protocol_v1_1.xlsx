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wardsalis/Dropbox/Manuscripts/Harry2025_manuscript/SupplementaryInfo/"/>
    </mc:Choice>
  </mc:AlternateContent>
  <xr:revisionPtr revIDLastSave="0" documentId="8_{EDED3FEB-4CB5-6049-89B6-A78F77D3916B}" xr6:coauthVersionLast="47" xr6:coauthVersionMax="47" xr10:uidLastSave="{00000000-0000-0000-0000-000000000000}"/>
  <bookViews>
    <workbookView xWindow="3220" yWindow="660" windowWidth="30980" windowHeight="19380" xr2:uid="{68B1FA5E-3C44-714A-8F41-876A29B7D445}"/>
  </bookViews>
  <sheets>
    <sheet name="Protoc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101" i="1" s="1"/>
  <c r="E101" i="1" s="1"/>
  <c r="D62" i="1"/>
  <c r="D61" i="1"/>
  <c r="D56" i="1" s="1"/>
  <c r="E99" i="1"/>
  <c r="D67" i="1"/>
  <c r="E98" i="1"/>
  <c r="E97" i="1"/>
  <c r="E55" i="1"/>
  <c r="E54" i="1"/>
  <c r="D49" i="1"/>
  <c r="D58" i="1" l="1"/>
  <c r="E56" i="1"/>
  <c r="D103" i="1"/>
  <c r="E100" i="1"/>
</calcChain>
</file>

<file path=xl/sharedStrings.xml><?xml version="1.0" encoding="utf-8"?>
<sst xmlns="http://schemas.openxmlformats.org/spreadsheetml/2006/main" count="185" uniqueCount="162">
  <si>
    <t>ng</t>
  </si>
  <si>
    <t>Initial Denaturement</t>
  </si>
  <si>
    <t>98 degC</t>
  </si>
  <si>
    <t>Denaturement</t>
  </si>
  <si>
    <t>Elongation</t>
  </si>
  <si>
    <t>Annealing</t>
  </si>
  <si>
    <t>72 degC</t>
  </si>
  <si>
    <t>Cycling</t>
  </si>
  <si>
    <t>Repeat steps for</t>
  </si>
  <si>
    <t>T4 DNA Ligase Buffer</t>
  </si>
  <si>
    <t>T4 DNA Ligase (2000 U/ul)</t>
  </si>
  <si>
    <t>BsaI-HFv2 (20 U/ul)</t>
  </si>
  <si>
    <t>NEB R3733</t>
  </si>
  <si>
    <t>37 degC</t>
  </si>
  <si>
    <t>5 minutes</t>
  </si>
  <si>
    <t>16 degC</t>
  </si>
  <si>
    <t>Digestion</t>
  </si>
  <si>
    <t>Ligation</t>
  </si>
  <si>
    <t>4 degC</t>
  </si>
  <si>
    <t>60 cycles</t>
  </si>
  <si>
    <t>20 seconds</t>
  </si>
  <si>
    <t>Final Elongation</t>
  </si>
  <si>
    <t>Store at 4 degC</t>
  </si>
  <si>
    <t>120 seconds</t>
  </si>
  <si>
    <t>NEB M0202M</t>
  </si>
  <si>
    <t>NEB M0544X</t>
  </si>
  <si>
    <t>Zymo D4024</t>
  </si>
  <si>
    <t>Genetic Systems Builder</t>
  </si>
  <si>
    <t>Use the Genetic Systems Builder design algorithm [https://www.denovodna.com/build_genetic_systems]</t>
  </si>
  <si>
    <t>For each desired assembly, specify:</t>
  </si>
  <si>
    <t>[1] the DNA nucleotide sequence</t>
  </si>
  <si>
    <t>[2] the TypeIIS assembly enzyme [BsaI, BbsI, BsmBI, Esp3I, or SapI]</t>
  </si>
  <si>
    <t>Step 1: Design the Oligopool and Primer Sequences</t>
  </si>
  <si>
    <t>[3] linear assembly into an added vector fragment [mode 0] or circular assembly without an added vector fragment [mode 1]</t>
  </si>
  <si>
    <t>There are additional global specifications, including:</t>
  </si>
  <si>
    <t>[1] the maximum oligo length [default is 300 nt]</t>
  </si>
  <si>
    <t>[2] the target melting temperature (TM) for all primers [default is 60 degC]</t>
  </si>
  <si>
    <t>[3] the primer length [default is 18 nt]</t>
  </si>
  <si>
    <t>[4] padding is added to the 5' or 3' end of the oligo [default is 5' end]</t>
  </si>
  <si>
    <t>Step 2: Purchase the Oligopool, Primers, and Reagents</t>
  </si>
  <si>
    <t>Twist Bioscience [https://www.twistbioscience.com] provides oligopools with oligonucleotide lengths of 150 to 300 nt.</t>
  </si>
  <si>
    <t>Genscript [https://www.genscript.com] provides oligopools with oligonucleotide lengths of up to 170 nt</t>
  </si>
  <si>
    <t>IDT [https://www.idtdna.com] provides oligopools with oligonucleotide lengths of up to 350 nt</t>
  </si>
  <si>
    <t>IDT [https://www.idtdna.com] provides oligonucleotides for primers in 96-well and 384-well plate format at the 500 pmole scale with lengths up to 60 nt.</t>
  </si>
  <si>
    <t>We purchase the following reagents from NEB [https://www.neb.com], but similar products can be found at other providers.</t>
  </si>
  <si>
    <t>Catalog #</t>
  </si>
  <si>
    <t>Reagent Name</t>
  </si>
  <si>
    <t>Nuclease-free water</t>
  </si>
  <si>
    <t>NEB B1500</t>
  </si>
  <si>
    <t>BbsI-HF (20 U/ul)</t>
  </si>
  <si>
    <t>NEB R3539L</t>
  </si>
  <si>
    <t>NEB B0202S</t>
  </si>
  <si>
    <t>T4 DNA Ligase Buffer, 10X (5 mL)</t>
  </si>
  <si>
    <t>T4 DNA Ligase (2000 U/ul), 100000 units</t>
  </si>
  <si>
    <t>NEBNext Ultra II Q5 Master Mix (2X), 500 reactions</t>
  </si>
  <si>
    <t>BbsmBI-v2 (10 U/ul), 1000 units</t>
  </si>
  <si>
    <t>NEB R0739L</t>
  </si>
  <si>
    <t>Esp3I (10 U/ul), 1500 units</t>
  </si>
  <si>
    <t>NEB R0734L</t>
  </si>
  <si>
    <t>SapI (10 U/ul), 1250 units</t>
  </si>
  <si>
    <t>NEB R0569L</t>
  </si>
  <si>
    <t>We purchase the following DNA purification kits from Zymo, but similar products can be found at other providers.</t>
  </si>
  <si>
    <t>ZR-96 DNA Clean and Concentrator-5, 4 x 96 preps</t>
  </si>
  <si>
    <t>Notes</t>
  </si>
  <si>
    <t>NEBNext Ultra II Q5 Master Mix (2X)</t>
  </si>
  <si>
    <t>Per-Well Volume [uL]</t>
  </si>
  <si>
    <t>Per-Plate Volume [uL]</t>
  </si>
  <si>
    <t>Enter the mass of oligopool template delivered to you in nanograms [ng]</t>
  </si>
  <si>
    <t>Oligopool Template Solution</t>
  </si>
  <si>
    <r>
      <t xml:space="preserve">Step 3: Prepare the </t>
    </r>
    <r>
      <rPr>
        <b/>
        <sz val="18"/>
        <color rgb="FF00B0F0"/>
        <rFont val="Calibri (Body)"/>
      </rPr>
      <t>Oligopool Template Solution</t>
    </r>
    <r>
      <rPr>
        <b/>
        <sz val="18"/>
        <color theme="1"/>
        <rFont val="Calibri"/>
        <family val="2"/>
        <scheme val="minor"/>
      </rPr>
      <t xml:space="preserve"> with a stock concentration of 0.5 ng / uL</t>
    </r>
  </si>
  <si>
    <t>Dry Oligopool Template</t>
  </si>
  <si>
    <t>3D. Transfer the PCR plate to a thermocycler and run the following temperature program</t>
  </si>
  <si>
    <t>3C. Add well-specific PCR primers to each well using a multi-channel pipettor or liquid handling robot.</t>
  </si>
  <si>
    <t>Default annealing temperature is 61 degC, using a default target primer TM of 60 degC.</t>
  </si>
  <si>
    <t>hold</t>
  </si>
  <si>
    <t>Step 5: Purify the DNA Fragment Libraries in each well</t>
  </si>
  <si>
    <t>5C. Centrifuge the I-96 Plate for 10 minutes. Discard flow through.</t>
  </si>
  <si>
    <t>5E. Centrifuge the I-96 Plate for 10 minutes. Discard flow through.</t>
  </si>
  <si>
    <t>5G. Centrifuge the I-96 Plate for 15 minutes. Discard flow through.</t>
  </si>
  <si>
    <r>
      <t xml:space="preserve">5F. Add </t>
    </r>
    <r>
      <rPr>
        <b/>
        <sz val="18"/>
        <color rgb="FF0070C0"/>
        <rFont val="Calibri (Body)"/>
      </rPr>
      <t>300 uL DNA Wash Buffer</t>
    </r>
    <r>
      <rPr>
        <sz val="18"/>
        <color theme="1"/>
        <rFont val="Calibri"/>
        <family val="2"/>
        <scheme val="minor"/>
      </rPr>
      <t xml:space="preserve"> to each well of the I-96 Plate.</t>
    </r>
  </si>
  <si>
    <r>
      <t xml:space="preserve">5D. Add </t>
    </r>
    <r>
      <rPr>
        <b/>
        <sz val="18"/>
        <color rgb="FF0070C0"/>
        <rFont val="Calibri (Body)"/>
      </rPr>
      <t>300 uL DNA Wash Buffer</t>
    </r>
    <r>
      <rPr>
        <sz val="18"/>
        <color theme="1"/>
        <rFont val="Calibri"/>
        <family val="2"/>
        <scheme val="minor"/>
      </rPr>
      <t xml:space="preserve"> to each well of the I-96 Plate.</t>
    </r>
  </si>
  <si>
    <r>
      <t xml:space="preserve">5H. Add </t>
    </r>
    <r>
      <rPr>
        <b/>
        <sz val="18"/>
        <color rgb="FF7030A0"/>
        <rFont val="Calibri (Body)"/>
      </rPr>
      <t>16 uL DNA Elution Buffer</t>
    </r>
    <r>
      <rPr>
        <sz val="18"/>
        <color theme="1"/>
        <rFont val="Calibri"/>
        <family val="2"/>
        <scheme val="minor"/>
      </rPr>
      <t xml:space="preserve"> to each well of the I-96 Plate.</t>
    </r>
  </si>
  <si>
    <r>
      <t xml:space="preserve">5A. Add </t>
    </r>
    <r>
      <rPr>
        <b/>
        <sz val="18"/>
        <color rgb="FFC00000"/>
        <rFont val="Calibri"/>
        <family val="2"/>
        <scheme val="minor"/>
      </rPr>
      <t xml:space="preserve">100 uL </t>
    </r>
    <r>
      <rPr>
        <b/>
        <sz val="18"/>
        <color rgb="FFC00000"/>
        <rFont val="Calibri (Body)"/>
      </rPr>
      <t>DNA Binding Buffer</t>
    </r>
    <r>
      <rPr>
        <sz val="18"/>
        <color theme="1"/>
        <rFont val="Calibri"/>
        <family val="2"/>
        <scheme val="minor"/>
      </rPr>
      <t xml:space="preserve"> (4 volumes) to each well</t>
    </r>
  </si>
  <si>
    <r>
      <t>5B. Transfer solutions inside each well to a</t>
    </r>
    <r>
      <rPr>
        <b/>
        <sz val="18"/>
        <color rgb="FF0070C0"/>
        <rFont val="Calibri (Body)"/>
      </rPr>
      <t xml:space="preserve"> </t>
    </r>
    <r>
      <rPr>
        <b/>
        <sz val="18"/>
        <color theme="1"/>
        <rFont val="Calibri (Body)"/>
      </rPr>
      <t>Zymo-Spin I-96 Plate</t>
    </r>
    <r>
      <rPr>
        <sz val="18"/>
        <color theme="1"/>
        <rFont val="Calibri"/>
        <family val="2"/>
        <scheme val="minor"/>
      </rPr>
      <t>, using a multi-channel pipettor or liquid handling robot</t>
    </r>
  </si>
  <si>
    <t>master mix volume is increased by 10% as reagent is typically lost to evaporation or pipette error</t>
  </si>
  <si>
    <t>When using BsmBI, Esp3I, or SapI, a volume of 3 uL is typically needed to add 30 enzyme units</t>
  </si>
  <si>
    <t>5J. Measure the DNA concentration of selected wells (Nanodrop)</t>
  </si>
  <si>
    <r>
      <t xml:space="preserve">6A. Prepare a stock solution of </t>
    </r>
    <r>
      <rPr>
        <b/>
        <sz val="18"/>
        <color rgb="FFFFC000"/>
        <rFont val="Calibri (Body)"/>
      </rPr>
      <t>Vector Fragment or Plasmid</t>
    </r>
  </si>
  <si>
    <t>Enter the DNA concentration of the vector fragment/plasmid in ng/ul</t>
  </si>
  <si>
    <t>nt</t>
  </si>
  <si>
    <t>bp</t>
  </si>
  <si>
    <t>Enter the length of the vector fragment or plasmid in base pairs</t>
  </si>
  <si>
    <t>Assembly Enzyme (30 units)     [BsaI or BbsI]</t>
  </si>
  <si>
    <t>Vector Fragment/Plasmid, used for assemblies in mastermixed wells</t>
  </si>
  <si>
    <r>
      <t xml:space="preserve">5I. Centrifuge the I-96 Plate for 5 minutes into the </t>
    </r>
    <r>
      <rPr>
        <b/>
        <sz val="18"/>
        <color rgb="FF00B0F0"/>
        <rFont val="Calibri (Body)"/>
      </rPr>
      <t>PCR Product Elution Plate</t>
    </r>
    <r>
      <rPr>
        <sz val="18"/>
        <color theme="1"/>
        <rFont val="Calibri"/>
        <family val="2"/>
        <scheme val="minor"/>
      </rPr>
      <t>.</t>
    </r>
  </si>
  <si>
    <t xml:space="preserve">Transfer well-specific PCR products into respective wells </t>
  </si>
  <si>
    <t>Step 6: Carry out the Golden Gate DNA  Assembly Reaction [25 ul]</t>
  </si>
  <si>
    <t>Step 4: Amplify the Fragment Library by carrying out PCR on the Oligopool Template with PCR Primers [25 ul]</t>
  </si>
  <si>
    <t>Maximum oligo length</t>
  </si>
  <si>
    <t>Enter the maximum oligo length</t>
  </si>
  <si>
    <t>Primer Melting Temperature (TM)</t>
  </si>
  <si>
    <t>degC</t>
  </si>
  <si>
    <t>Enter the primers' melting temperature</t>
  </si>
  <si>
    <t># fragments</t>
  </si>
  <si>
    <t>Enter the number of DNA fragments in a fragment library</t>
  </si>
  <si>
    <t>You can adjust this number from 8 to 16 ul, depending on the number of fragments in each assembly. Default is 10 ul.</t>
  </si>
  <si>
    <t>** Typically, the DNA concentration is proportional to the number of DNA fragments</t>
  </si>
  <si>
    <t>** Only add vector to mastermix when using the same vector for all plate wells</t>
  </si>
  <si>
    <t>** When carrying out circular assemblies, do not add vector. Add nuclease-free water to a final volume of 15 ul.</t>
  </si>
  <si>
    <t>using a multi-channel pipettor or liquid handling robot</t>
  </si>
  <si>
    <r>
      <t xml:space="preserve">3A. Prepare a </t>
    </r>
    <r>
      <rPr>
        <b/>
        <sz val="18"/>
        <color rgb="FF00B050"/>
        <rFont val="Calibri (Body)"/>
      </rPr>
      <t>PCR Master Mix</t>
    </r>
    <r>
      <rPr>
        <b/>
        <sz val="18"/>
        <color theme="1"/>
        <rFont val="Calibri"/>
        <family val="2"/>
        <scheme val="minor"/>
      </rPr>
      <t xml:space="preserve"> containing:</t>
    </r>
  </si>
  <si>
    <r>
      <t xml:space="preserve">3B. Aliquot the </t>
    </r>
    <r>
      <rPr>
        <b/>
        <sz val="18"/>
        <color rgb="FF00B050"/>
        <rFont val="Calibri (Body)"/>
      </rPr>
      <t>PCR Master Mix</t>
    </r>
    <r>
      <rPr>
        <b/>
        <sz val="18"/>
        <color theme="1"/>
        <rFont val="Calibri"/>
        <family val="2"/>
        <scheme val="minor"/>
      </rPr>
      <t xml:space="preserve"> into a PCR plate [96 or 384 wells]</t>
    </r>
  </si>
  <si>
    <t>26 cycles</t>
  </si>
  <si>
    <t>7D. Heat shock plate at 42 degC for 30 seconds.</t>
  </si>
  <si>
    <r>
      <t xml:space="preserve">7A. Incubate </t>
    </r>
    <r>
      <rPr>
        <b/>
        <sz val="18"/>
        <color rgb="FF00B050"/>
        <rFont val="Calibri (Body)"/>
      </rPr>
      <t>Assembly Product</t>
    </r>
    <r>
      <rPr>
        <sz val="18"/>
        <color theme="1"/>
        <rFont val="Calibri"/>
        <family val="2"/>
        <scheme val="minor"/>
      </rPr>
      <t xml:space="preserve"> (or purified Assembly Product) plate at 60 degC for 5 minutes (heat soak).</t>
    </r>
  </si>
  <si>
    <t>7B. Add 10 ul of assembly product to fresh plate containing chemical competent cells. Mix by gently flicking.</t>
  </si>
  <si>
    <t>7C. Incubate plate on ice for 30 minutes.</t>
  </si>
  <si>
    <t>degC, 30 seconds</t>
  </si>
  <si>
    <t>Step 7: Transform Assembly Product into Plate of Chemical Competent Cells</t>
  </si>
  <si>
    <r>
      <t xml:space="preserve">Repeat Step 5 on </t>
    </r>
    <r>
      <rPr>
        <b/>
        <sz val="18"/>
        <color rgb="FF00B050"/>
        <rFont val="Calibri (Body)"/>
      </rPr>
      <t>Assembly Plate</t>
    </r>
    <r>
      <rPr>
        <b/>
        <sz val="18"/>
        <color theme="1"/>
        <rFont val="Calibri"/>
        <family val="2"/>
        <scheme val="minor"/>
      </rPr>
      <t xml:space="preserve"> to increase transformation efficiency [if needed]</t>
    </r>
  </si>
  <si>
    <t>Step 8: Carry out Plasmid Purification of Assembled Plasmids</t>
  </si>
  <si>
    <t>We purchase custom oligopools from Twist Bioscience, but similar oligopools are available from other providers.</t>
  </si>
  <si>
    <t>We purchase custom primers from IDT, but similar primers are available from other providers.</t>
  </si>
  <si>
    <t>** The number of cycles can be changed from 16 to 60. More cycles improves assembly efficiency (with diminishing effects).</t>
  </si>
  <si>
    <t>Create a 0.50 ng /ul stock solution by combining</t>
  </si>
  <si>
    <t>* Number of cycles can be lowered to 25 if adding 1 ng oligopool or to 24 cycles [2 ng] or 23 cycles [4 ng]</t>
  </si>
  <si>
    <t>Zymo D4215</t>
  </si>
  <si>
    <t>ZymoPURE 96 Plasmid Miniprep Kit, 4 x 96 preps</t>
  </si>
  <si>
    <t>URL: https://www.zymoresearch.com/products/zymopure-96-plasmid-miniprep-kit</t>
  </si>
  <si>
    <r>
      <t xml:space="preserve">7G. Seal the Deep Well Plate using an </t>
    </r>
    <r>
      <rPr>
        <b/>
        <sz val="18"/>
        <color theme="1"/>
        <rFont val="Calibri"/>
        <family val="2"/>
        <scheme val="minor"/>
      </rPr>
      <t>Air-Permeable Sealing Cover</t>
    </r>
    <r>
      <rPr>
        <sz val="18"/>
        <color theme="1"/>
        <rFont val="Calibri"/>
        <family val="2"/>
        <scheme val="minor"/>
      </rPr>
      <t>.</t>
    </r>
  </si>
  <si>
    <t>7E. Add recovery media to each plate well. Incubate for 90 minutes (300+ RPM shaking, 28-37 degC as needed)</t>
  </si>
  <si>
    <t>7H. Incubate in shaking conditions (300+ RPM) for 18-24 hours at desired growth temperature (28-37 degC).</t>
  </si>
  <si>
    <r>
      <t xml:space="preserve">7F. Transfer recovery cultures in each well to </t>
    </r>
    <r>
      <rPr>
        <b/>
        <sz val="18"/>
        <color theme="1"/>
        <rFont val="Calibri"/>
        <family val="2"/>
        <scheme val="minor"/>
      </rPr>
      <t>Zymo 96-well 2.0 mL Deep Well Plate containing 1 mL LB media with selective antibiotic</t>
    </r>
  </si>
  <si>
    <t xml:space="preserve">Please see the manufacturer's instructions for using a centrifuge or vacuum manifold to carry out plasmid purification. </t>
  </si>
  <si>
    <t>Wet formulation is TE buffer. Enter your Primer Concentration:</t>
  </si>
  <si>
    <t>uM</t>
  </si>
  <si>
    <t>Enter the primer concentration used in wet formulation [2.5 to 10 uM]</t>
  </si>
  <si>
    <t>Well-specific forward primer, TE buffer</t>
  </si>
  <si>
    <t>Well-specific reverse primer, TE buffer</t>
  </si>
  <si>
    <t>uL</t>
  </si>
  <si>
    <t>Using primer plate wet formulation specified above</t>
  </si>
  <si>
    <t>* Oligopool template amount can be increased by 2X or more</t>
  </si>
  <si>
    <t>ng/uL</t>
  </si>
  <si>
    <t>60 seconds</t>
  </si>
  <si>
    <t>** Vector fragment or plasmid is added in equimolar amounts to each DNA fragment in the fragment library</t>
  </si>
  <si>
    <t>Enter the measurement here in units of ng/uL</t>
  </si>
  <si>
    <t>10 seconds</t>
  </si>
  <si>
    <t>Protocol written by Howard Salis with assistance from Harry Adamson and Asher Vokoun</t>
  </si>
  <si>
    <t>60 degC</t>
  </si>
  <si>
    <t>30 minutes</t>
  </si>
  <si>
    <r>
      <t xml:space="preserve">Incubate </t>
    </r>
    <r>
      <rPr>
        <b/>
        <sz val="18"/>
        <color rgb="FF00B0F0"/>
        <rFont val="Calibri (Body)"/>
      </rPr>
      <t>PCR Product Elution Plate</t>
    </r>
    <r>
      <rPr>
        <sz val="18"/>
        <rFont val="Calibri (Body)"/>
      </rPr>
      <t xml:space="preserve"> to unfold DNA structures</t>
    </r>
  </si>
  <si>
    <t>Slowly decrease temperature using &lt;1 degC per second</t>
  </si>
  <si>
    <t>slowest ramp-down</t>
  </si>
  <si>
    <t>Slow cooling process prevents the formation of undesired DNA structures</t>
  </si>
  <si>
    <r>
      <t xml:space="preserve">6C. Prepare an </t>
    </r>
    <r>
      <rPr>
        <b/>
        <sz val="18"/>
        <color rgb="FF00B050"/>
        <rFont val="Calibri (Body)"/>
      </rPr>
      <t>Assembly Master Mix</t>
    </r>
    <r>
      <rPr>
        <b/>
        <sz val="18"/>
        <color theme="1"/>
        <rFont val="Calibri"/>
        <family val="2"/>
        <scheme val="minor"/>
      </rPr>
      <t xml:space="preserve"> containing:</t>
    </r>
  </si>
  <si>
    <r>
      <t xml:space="preserve">6D. Aliquot the </t>
    </r>
    <r>
      <rPr>
        <b/>
        <sz val="18"/>
        <color rgb="FF00B050"/>
        <rFont val="Calibri (Body)"/>
      </rPr>
      <t>Assembly Master Mix</t>
    </r>
    <r>
      <rPr>
        <b/>
        <sz val="18"/>
        <color theme="1"/>
        <rFont val="Calibri"/>
        <family val="2"/>
        <scheme val="minor"/>
      </rPr>
      <t xml:space="preserve"> to each well of the </t>
    </r>
    <r>
      <rPr>
        <b/>
        <sz val="18"/>
        <color rgb="FF00B050"/>
        <rFont val="Calibri (Body)"/>
      </rPr>
      <t>Assembly Plate</t>
    </r>
  </si>
  <si>
    <r>
      <t xml:space="preserve">6E. Transfer from the </t>
    </r>
    <r>
      <rPr>
        <b/>
        <sz val="18"/>
        <color rgb="FF00B0F0"/>
        <rFont val="Calibri (Body)"/>
      </rPr>
      <t>PCR Product Elution Plate</t>
    </r>
    <r>
      <rPr>
        <b/>
        <sz val="18"/>
        <color theme="1"/>
        <rFont val="Calibri"/>
        <family val="2"/>
        <scheme val="minor"/>
      </rPr>
      <t xml:space="preserve"> to the </t>
    </r>
    <r>
      <rPr>
        <b/>
        <sz val="18"/>
        <color rgb="FF00B050"/>
        <rFont val="Calibri (Body)"/>
      </rPr>
      <t>Assembly Plate</t>
    </r>
  </si>
  <si>
    <r>
      <t xml:space="preserve">6F. Transfer the </t>
    </r>
    <r>
      <rPr>
        <b/>
        <sz val="18"/>
        <color rgb="FF00B050"/>
        <rFont val="Calibri (Body)"/>
      </rPr>
      <t>Assembly Plate</t>
    </r>
    <r>
      <rPr>
        <b/>
        <sz val="18"/>
        <color theme="1"/>
        <rFont val="Calibri"/>
        <family val="2"/>
        <scheme val="minor"/>
      </rPr>
      <t xml:space="preserve"> to the thermocycler and carry out the following temperature program</t>
    </r>
  </si>
  <si>
    <t>6G. [Optional] Purify the Assembly Product in each well</t>
  </si>
  <si>
    <t>Version v1.1. Updated May 21 2026</t>
  </si>
  <si>
    <t>6B. Heat Soak PCR Product before DNA Assembly</t>
  </si>
  <si>
    <t>This incubation and slow-cool removes single-stranded structures within DNA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</si>
</sst>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8"/>
      <color rgb="FF00B050"/>
      <name val="Calibri (Body)"/>
    </font>
    <font>
      <b/>
      <sz val="18"/>
      <color rgb="FF00B0F0"/>
      <name val="Calibri"/>
      <family val="2"/>
      <scheme val="minor"/>
    </font>
    <font>
      <b/>
      <sz val="18"/>
      <color rgb="FF00B0F0"/>
      <name val="Calibri (Body)"/>
    </font>
    <font>
      <b/>
      <sz val="18"/>
      <color rgb="FF0070C0"/>
      <name val="Calibri (Body)"/>
    </font>
    <font>
      <b/>
      <sz val="18"/>
      <color rgb="FF7030A0"/>
      <name val="Calibri (Body)"/>
    </font>
    <font>
      <b/>
      <sz val="18"/>
      <color rgb="FFC00000"/>
      <name val="Calibri"/>
      <family val="2"/>
      <scheme val="minor"/>
    </font>
    <font>
      <b/>
      <sz val="18"/>
      <color rgb="FFC00000"/>
      <name val="Calibri (Body)"/>
    </font>
    <font>
      <b/>
      <sz val="18"/>
      <color theme="1"/>
      <name val="Calibri (Body)"/>
    </font>
    <font>
      <b/>
      <sz val="18"/>
      <color rgb="FFFFC000"/>
      <name val="Calibri (Body)"/>
    </font>
    <font>
      <b/>
      <sz val="20"/>
      <color theme="1"/>
      <name val="Calibri"/>
      <family val="2"/>
      <scheme val="minor"/>
    </font>
    <font>
      <sz val="18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3" borderId="1" applyNumberFormat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2" fillId="3" borderId="1" xfId="2" applyFont="1"/>
    <xf numFmtId="2" fontId="2" fillId="3" borderId="1" xfId="2" applyNumberFormat="1" applyFont="1"/>
    <xf numFmtId="0" fontId="2" fillId="2" borderId="1" xfId="1" applyFont="1"/>
    <xf numFmtId="0" fontId="3" fillId="0" borderId="0" xfId="0" applyFont="1" applyAlignment="1">
      <alignment horizontal="left"/>
    </xf>
    <xf numFmtId="0" fontId="15" fillId="0" borderId="0" xfId="0" applyFont="1" applyAlignment="1">
      <alignment horizont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70E7-9464-C042-9655-6E8B201E1A63}">
  <dimension ref="A1:T131"/>
  <sheetViews>
    <sheetView tabSelected="1" topLeftCell="A85" zoomScale="80" zoomScaleNormal="80" workbookViewId="0">
      <selection activeCell="F94" sqref="F94"/>
    </sheetView>
  </sheetViews>
  <sheetFormatPr baseColWidth="10" defaultColWidth="10.83203125" defaultRowHeight="24" x14ac:dyDescent="0.3"/>
  <cols>
    <col min="1" max="1" width="10.5" style="2" customWidth="1"/>
    <col min="2" max="2" width="9.5" style="2" customWidth="1"/>
    <col min="3" max="3" width="83.6640625" style="2" customWidth="1"/>
    <col min="4" max="4" width="27.83203125" style="2" customWidth="1"/>
    <col min="5" max="5" width="28.6640625" style="2" customWidth="1"/>
    <col min="6" max="6" width="106.5" style="2" customWidth="1"/>
    <col min="7" max="8" width="10.83203125" style="2"/>
    <col min="9" max="9" width="28.6640625" style="2" bestFit="1" customWidth="1"/>
    <col min="10" max="13" width="10.83203125" style="2"/>
    <col min="21" max="16384" width="10.83203125" style="2"/>
  </cols>
  <sheetData>
    <row r="1" spans="1:12" ht="26" customHeight="1" x14ac:dyDescent="0.3">
      <c r="A1" s="12" t="s">
        <v>27</v>
      </c>
      <c r="B1" s="12"/>
      <c r="C1" s="12"/>
      <c r="D1" s="12"/>
      <c r="E1" s="12"/>
      <c r="H1"/>
      <c r="I1"/>
      <c r="J1"/>
      <c r="K1"/>
      <c r="L1"/>
    </row>
    <row r="2" spans="1:12" ht="26" customHeight="1" x14ac:dyDescent="0.3">
      <c r="A2" s="12" t="s">
        <v>159</v>
      </c>
      <c r="B2" s="12"/>
      <c r="C2" s="12"/>
      <c r="D2" s="12"/>
      <c r="E2" s="12"/>
      <c r="H2"/>
      <c r="I2"/>
      <c r="J2"/>
      <c r="K2"/>
      <c r="L2"/>
    </row>
    <row r="3" spans="1:12" ht="26" customHeight="1" x14ac:dyDescent="0.3">
      <c r="A3" s="12" t="s">
        <v>147</v>
      </c>
      <c r="B3" s="12"/>
      <c r="C3" s="12"/>
      <c r="D3" s="12"/>
      <c r="E3" s="12"/>
      <c r="H3"/>
      <c r="I3"/>
      <c r="J3"/>
      <c r="K3"/>
      <c r="L3"/>
    </row>
    <row r="4" spans="1:12" x14ac:dyDescent="0.3">
      <c r="A4" s="1"/>
      <c r="H4"/>
      <c r="I4"/>
      <c r="J4"/>
      <c r="K4"/>
      <c r="L4"/>
    </row>
    <row r="5" spans="1:12" x14ac:dyDescent="0.3">
      <c r="A5" s="1" t="s">
        <v>32</v>
      </c>
      <c r="H5"/>
      <c r="I5"/>
      <c r="J5"/>
      <c r="K5"/>
      <c r="L5"/>
    </row>
    <row r="6" spans="1:12" x14ac:dyDescent="0.3">
      <c r="B6" s="1" t="s">
        <v>28</v>
      </c>
      <c r="H6"/>
      <c r="I6"/>
      <c r="J6"/>
      <c r="K6"/>
      <c r="L6"/>
    </row>
    <row r="7" spans="1:12" x14ac:dyDescent="0.3">
      <c r="B7" s="1" t="s">
        <v>29</v>
      </c>
      <c r="H7"/>
      <c r="I7"/>
      <c r="J7"/>
      <c r="K7"/>
      <c r="L7"/>
    </row>
    <row r="8" spans="1:12" x14ac:dyDescent="0.3">
      <c r="C8" s="2" t="s">
        <v>30</v>
      </c>
      <c r="H8"/>
      <c r="I8"/>
      <c r="J8"/>
      <c r="K8"/>
      <c r="L8"/>
    </row>
    <row r="9" spans="1:12" x14ac:dyDescent="0.3">
      <c r="C9" s="2" t="s">
        <v>31</v>
      </c>
      <c r="H9"/>
      <c r="I9"/>
      <c r="J9"/>
      <c r="K9"/>
      <c r="L9"/>
    </row>
    <row r="10" spans="1:12" x14ac:dyDescent="0.3">
      <c r="C10" s="2" t="s">
        <v>33</v>
      </c>
      <c r="H10"/>
      <c r="I10"/>
      <c r="J10"/>
      <c r="K10"/>
      <c r="L10"/>
    </row>
    <row r="11" spans="1:12" x14ac:dyDescent="0.3">
      <c r="B11" s="1" t="s">
        <v>34</v>
      </c>
      <c r="H11"/>
      <c r="I11"/>
      <c r="J11"/>
      <c r="K11"/>
      <c r="L11"/>
    </row>
    <row r="12" spans="1:12" x14ac:dyDescent="0.3">
      <c r="C12" s="2" t="s">
        <v>35</v>
      </c>
      <c r="H12"/>
      <c r="I12"/>
      <c r="J12"/>
      <c r="K12"/>
      <c r="L12"/>
    </row>
    <row r="13" spans="1:12" x14ac:dyDescent="0.3">
      <c r="C13" s="2" t="s">
        <v>36</v>
      </c>
      <c r="H13"/>
      <c r="I13"/>
      <c r="J13"/>
      <c r="K13"/>
      <c r="L13"/>
    </row>
    <row r="14" spans="1:12" x14ac:dyDescent="0.3">
      <c r="C14" s="2" t="s">
        <v>37</v>
      </c>
      <c r="H14"/>
      <c r="I14"/>
      <c r="J14"/>
      <c r="K14"/>
      <c r="L14"/>
    </row>
    <row r="15" spans="1:12" x14ac:dyDescent="0.3">
      <c r="C15" s="2" t="s">
        <v>38</v>
      </c>
      <c r="H15"/>
      <c r="I15"/>
      <c r="J15"/>
      <c r="K15"/>
      <c r="L15"/>
    </row>
    <row r="16" spans="1:12" ht="24" customHeight="1" x14ac:dyDescent="0.3">
      <c r="H16"/>
      <c r="I16"/>
      <c r="J16"/>
      <c r="K16"/>
      <c r="L16"/>
    </row>
    <row r="17" spans="1:12" x14ac:dyDescent="0.3">
      <c r="C17" s="2" t="s">
        <v>98</v>
      </c>
      <c r="D17" s="10">
        <v>300</v>
      </c>
      <c r="E17" s="2" t="s">
        <v>89</v>
      </c>
      <c r="F17" s="2" t="s">
        <v>99</v>
      </c>
      <c r="H17"/>
      <c r="I17"/>
      <c r="J17"/>
      <c r="K17"/>
      <c r="L17"/>
    </row>
    <row r="18" spans="1:12" x14ac:dyDescent="0.3">
      <c r="C18" s="2" t="s">
        <v>100</v>
      </c>
      <c r="D18" s="10">
        <v>60</v>
      </c>
      <c r="E18" s="2" t="s">
        <v>101</v>
      </c>
      <c r="F18" s="2" t="s">
        <v>102</v>
      </c>
      <c r="H18"/>
      <c r="I18"/>
      <c r="J18"/>
      <c r="K18"/>
      <c r="L18"/>
    </row>
    <row r="19" spans="1:12" x14ac:dyDescent="0.3">
      <c r="H19"/>
      <c r="I19"/>
      <c r="J19"/>
      <c r="K19"/>
      <c r="L19"/>
    </row>
    <row r="20" spans="1:12" x14ac:dyDescent="0.3">
      <c r="A20" s="1" t="s">
        <v>39</v>
      </c>
      <c r="H20"/>
      <c r="I20"/>
      <c r="J20"/>
      <c r="K20"/>
      <c r="L20"/>
    </row>
    <row r="21" spans="1:12" x14ac:dyDescent="0.3">
      <c r="B21" s="1" t="s">
        <v>121</v>
      </c>
      <c r="H21"/>
      <c r="I21"/>
      <c r="J21"/>
      <c r="K21"/>
      <c r="L21"/>
    </row>
    <row r="22" spans="1:12" x14ac:dyDescent="0.3">
      <c r="C22" s="2" t="s">
        <v>40</v>
      </c>
      <c r="H22"/>
      <c r="I22"/>
      <c r="J22"/>
      <c r="K22"/>
      <c r="L22"/>
    </row>
    <row r="23" spans="1:12" x14ac:dyDescent="0.3">
      <c r="C23" s="2" t="s">
        <v>42</v>
      </c>
      <c r="H23"/>
      <c r="I23"/>
      <c r="J23"/>
      <c r="K23"/>
      <c r="L23"/>
    </row>
    <row r="24" spans="1:12" x14ac:dyDescent="0.3">
      <c r="C24" s="2" t="s">
        <v>41</v>
      </c>
      <c r="H24"/>
      <c r="I24"/>
      <c r="J24"/>
      <c r="K24"/>
      <c r="L24"/>
    </row>
    <row r="25" spans="1:12" x14ac:dyDescent="0.3">
      <c r="H25"/>
      <c r="I25"/>
      <c r="J25"/>
      <c r="K25"/>
      <c r="L25"/>
    </row>
    <row r="26" spans="1:12" x14ac:dyDescent="0.3">
      <c r="B26" s="1" t="s">
        <v>122</v>
      </c>
      <c r="H26"/>
      <c r="I26"/>
      <c r="J26"/>
      <c r="K26"/>
      <c r="L26"/>
    </row>
    <row r="27" spans="1:12" x14ac:dyDescent="0.3">
      <c r="C27" s="2" t="s">
        <v>43</v>
      </c>
      <c r="H27"/>
      <c r="I27"/>
      <c r="J27"/>
      <c r="K27"/>
      <c r="L27"/>
    </row>
    <row r="28" spans="1:12" x14ac:dyDescent="0.3">
      <c r="C28" s="2" t="s">
        <v>134</v>
      </c>
      <c r="D28" s="10">
        <v>10</v>
      </c>
      <c r="E28" s="2" t="s">
        <v>135</v>
      </c>
      <c r="F28" s="2" t="s">
        <v>136</v>
      </c>
      <c r="H28"/>
      <c r="I28"/>
      <c r="J28"/>
      <c r="K28"/>
      <c r="L28"/>
    </row>
    <row r="29" spans="1:12" x14ac:dyDescent="0.3">
      <c r="H29"/>
      <c r="I29"/>
      <c r="J29"/>
      <c r="K29"/>
      <c r="L29"/>
    </row>
    <row r="30" spans="1:12" x14ac:dyDescent="0.3">
      <c r="B30" s="1" t="s">
        <v>44</v>
      </c>
      <c r="H30"/>
      <c r="I30"/>
      <c r="J30"/>
      <c r="K30"/>
      <c r="L30"/>
    </row>
    <row r="31" spans="1:12" x14ac:dyDescent="0.3">
      <c r="C31" s="1" t="s">
        <v>46</v>
      </c>
      <c r="D31" s="1" t="s">
        <v>45</v>
      </c>
      <c r="H31"/>
      <c r="I31"/>
      <c r="J31"/>
      <c r="K31"/>
      <c r="L31"/>
    </row>
    <row r="32" spans="1:12" x14ac:dyDescent="0.3">
      <c r="C32" s="2" t="s">
        <v>54</v>
      </c>
      <c r="D32" s="2" t="s">
        <v>25</v>
      </c>
      <c r="H32"/>
      <c r="I32"/>
      <c r="J32"/>
      <c r="K32"/>
      <c r="L32"/>
    </row>
    <row r="33" spans="1:12" x14ac:dyDescent="0.3">
      <c r="C33" s="2" t="s">
        <v>47</v>
      </c>
      <c r="D33" s="2" t="s">
        <v>48</v>
      </c>
      <c r="H33"/>
      <c r="I33"/>
      <c r="J33"/>
      <c r="K33"/>
      <c r="L33"/>
    </row>
    <row r="34" spans="1:12" x14ac:dyDescent="0.3">
      <c r="C34" s="2" t="s">
        <v>52</v>
      </c>
      <c r="D34" s="2" t="s">
        <v>51</v>
      </c>
      <c r="H34"/>
      <c r="I34"/>
      <c r="J34"/>
      <c r="K34"/>
      <c r="L34"/>
    </row>
    <row r="35" spans="1:12" x14ac:dyDescent="0.3">
      <c r="C35" s="2" t="s">
        <v>53</v>
      </c>
      <c r="D35" s="2" t="s">
        <v>24</v>
      </c>
      <c r="H35"/>
      <c r="I35"/>
      <c r="J35"/>
      <c r="K35"/>
      <c r="L35"/>
    </row>
    <row r="36" spans="1:12" x14ac:dyDescent="0.3">
      <c r="C36" s="2" t="s">
        <v>11</v>
      </c>
      <c r="D36" s="2" t="s">
        <v>12</v>
      </c>
      <c r="H36"/>
      <c r="I36"/>
      <c r="J36"/>
      <c r="K36"/>
      <c r="L36"/>
    </row>
    <row r="37" spans="1:12" x14ac:dyDescent="0.3">
      <c r="C37" s="2" t="s">
        <v>49</v>
      </c>
      <c r="D37" s="2" t="s">
        <v>50</v>
      </c>
      <c r="H37"/>
      <c r="I37"/>
      <c r="J37"/>
      <c r="K37"/>
      <c r="L37"/>
    </row>
    <row r="38" spans="1:12" x14ac:dyDescent="0.3">
      <c r="C38" s="2" t="s">
        <v>55</v>
      </c>
      <c r="D38" s="2" t="s">
        <v>56</v>
      </c>
      <c r="H38"/>
      <c r="I38"/>
      <c r="J38"/>
      <c r="K38"/>
      <c r="L38"/>
    </row>
    <row r="39" spans="1:12" x14ac:dyDescent="0.3">
      <c r="C39" s="2" t="s">
        <v>57</v>
      </c>
      <c r="D39" s="2" t="s">
        <v>58</v>
      </c>
      <c r="H39"/>
      <c r="I39"/>
      <c r="J39"/>
      <c r="K39"/>
      <c r="L39"/>
    </row>
    <row r="40" spans="1:12" x14ac:dyDescent="0.3">
      <c r="C40" s="2" t="s">
        <v>59</v>
      </c>
      <c r="D40" s="2" t="s">
        <v>60</v>
      </c>
      <c r="H40"/>
      <c r="I40"/>
      <c r="J40"/>
      <c r="K40"/>
      <c r="L40"/>
    </row>
    <row r="41" spans="1:12" x14ac:dyDescent="0.3">
      <c r="H41"/>
      <c r="I41"/>
      <c r="J41"/>
      <c r="K41"/>
      <c r="L41"/>
    </row>
    <row r="42" spans="1:12" x14ac:dyDescent="0.3">
      <c r="B42" s="1" t="s">
        <v>61</v>
      </c>
      <c r="H42"/>
      <c r="I42"/>
      <c r="J42"/>
      <c r="K42"/>
      <c r="L42"/>
    </row>
    <row r="43" spans="1:12" x14ac:dyDescent="0.3">
      <c r="C43" s="2" t="s">
        <v>62</v>
      </c>
      <c r="D43" s="2" t="s">
        <v>26</v>
      </c>
      <c r="H43"/>
      <c r="I43"/>
      <c r="J43"/>
      <c r="K43"/>
      <c r="L43"/>
    </row>
    <row r="44" spans="1:12" x14ac:dyDescent="0.3">
      <c r="C44" s="2" t="s">
        <v>127</v>
      </c>
      <c r="D44" s="2" t="s">
        <v>126</v>
      </c>
      <c r="H44"/>
      <c r="I44"/>
      <c r="J44"/>
      <c r="K44"/>
      <c r="L44"/>
    </row>
    <row r="45" spans="1:12" x14ac:dyDescent="0.3">
      <c r="H45"/>
      <c r="I45"/>
      <c r="J45"/>
      <c r="K45"/>
      <c r="L45"/>
    </row>
    <row r="46" spans="1:12" x14ac:dyDescent="0.3">
      <c r="A46" s="1" t="s">
        <v>69</v>
      </c>
      <c r="H46"/>
      <c r="I46"/>
      <c r="J46"/>
      <c r="K46"/>
      <c r="L46"/>
    </row>
    <row r="47" spans="1:12" x14ac:dyDescent="0.3">
      <c r="B47" s="3" t="s">
        <v>124</v>
      </c>
      <c r="H47"/>
      <c r="I47"/>
      <c r="J47"/>
      <c r="K47"/>
      <c r="L47"/>
    </row>
    <row r="48" spans="1:12" x14ac:dyDescent="0.3">
      <c r="C48" s="2" t="s">
        <v>70</v>
      </c>
      <c r="D48" s="10">
        <v>250</v>
      </c>
      <c r="E48" s="2" t="s">
        <v>0</v>
      </c>
      <c r="F48" s="2" t="s">
        <v>67</v>
      </c>
      <c r="H48"/>
      <c r="I48"/>
      <c r="J48"/>
      <c r="K48"/>
      <c r="L48"/>
    </row>
    <row r="49" spans="1:12" x14ac:dyDescent="0.3">
      <c r="C49" s="2" t="s">
        <v>47</v>
      </c>
      <c r="D49" s="8">
        <f>D48*2</f>
        <v>500</v>
      </c>
      <c r="E49" s="2" t="s">
        <v>139</v>
      </c>
      <c r="H49"/>
      <c r="I49"/>
      <c r="J49"/>
      <c r="K49"/>
      <c r="L49"/>
    </row>
    <row r="50" spans="1:12" x14ac:dyDescent="0.3">
      <c r="H50"/>
      <c r="I50"/>
      <c r="J50"/>
      <c r="K50"/>
      <c r="L50"/>
    </row>
    <row r="51" spans="1:12" x14ac:dyDescent="0.3">
      <c r="A51" s="1" t="s">
        <v>97</v>
      </c>
      <c r="H51"/>
      <c r="I51"/>
      <c r="J51"/>
      <c r="K51"/>
      <c r="L51"/>
    </row>
    <row r="52" spans="1:12" x14ac:dyDescent="0.3">
      <c r="B52" s="1"/>
      <c r="H52"/>
      <c r="I52"/>
      <c r="J52"/>
      <c r="K52"/>
      <c r="L52"/>
    </row>
    <row r="53" spans="1:12" x14ac:dyDescent="0.3">
      <c r="B53" s="1" t="s">
        <v>110</v>
      </c>
      <c r="D53" s="1" t="s">
        <v>65</v>
      </c>
      <c r="E53" s="1" t="s">
        <v>66</v>
      </c>
      <c r="F53" s="1" t="s">
        <v>63</v>
      </c>
      <c r="H53"/>
      <c r="I53"/>
      <c r="J53"/>
      <c r="K53"/>
      <c r="L53"/>
    </row>
    <row r="54" spans="1:12" x14ac:dyDescent="0.3">
      <c r="C54" s="2" t="s">
        <v>64</v>
      </c>
      <c r="D54" s="2">
        <v>12.5</v>
      </c>
      <c r="E54" s="2">
        <f>96*D54*1.1</f>
        <v>1320</v>
      </c>
      <c r="F54" s="2" t="s">
        <v>84</v>
      </c>
      <c r="H54"/>
      <c r="I54"/>
      <c r="J54"/>
      <c r="K54"/>
      <c r="L54"/>
    </row>
    <row r="55" spans="1:12" x14ac:dyDescent="0.3">
      <c r="C55" s="5" t="s">
        <v>68</v>
      </c>
      <c r="D55" s="2">
        <v>1</v>
      </c>
      <c r="E55" s="2">
        <f>96*D55</f>
        <v>96</v>
      </c>
      <c r="F55" s="2" t="s">
        <v>141</v>
      </c>
      <c r="H55"/>
      <c r="I55"/>
      <c r="J55"/>
      <c r="K55"/>
      <c r="L55"/>
    </row>
    <row r="56" spans="1:12" x14ac:dyDescent="0.3">
      <c r="C56" s="2" t="s">
        <v>47</v>
      </c>
      <c r="D56" s="2">
        <f>25-D54-D55-D61-D62</f>
        <v>9</v>
      </c>
      <c r="E56" s="2">
        <f>96*D56*1.1</f>
        <v>950.40000000000009</v>
      </c>
      <c r="F56" s="2" t="s">
        <v>84</v>
      </c>
      <c r="H56"/>
      <c r="I56"/>
      <c r="J56"/>
      <c r="K56"/>
      <c r="L56"/>
    </row>
    <row r="57" spans="1:12" x14ac:dyDescent="0.3">
      <c r="H57"/>
      <c r="I57"/>
      <c r="J57"/>
      <c r="K57"/>
      <c r="L57"/>
    </row>
    <row r="58" spans="1:12" x14ac:dyDescent="0.3">
      <c r="B58" s="1" t="s">
        <v>111</v>
      </c>
      <c r="D58" s="2">
        <f>SUM(D54:D56)</f>
        <v>22.5</v>
      </c>
      <c r="E58" s="2" t="s">
        <v>139</v>
      </c>
      <c r="H58"/>
      <c r="I58"/>
      <c r="J58"/>
      <c r="K58"/>
      <c r="L58"/>
    </row>
    <row r="59" spans="1:12" x14ac:dyDescent="0.3">
      <c r="H59"/>
      <c r="I59"/>
      <c r="J59"/>
      <c r="K59"/>
      <c r="L59"/>
    </row>
    <row r="60" spans="1:12" x14ac:dyDescent="0.3">
      <c r="B60" s="1" t="s">
        <v>72</v>
      </c>
      <c r="E60" s="4"/>
      <c r="H60"/>
      <c r="I60"/>
      <c r="J60"/>
      <c r="K60"/>
      <c r="L60"/>
    </row>
    <row r="61" spans="1:12" x14ac:dyDescent="0.3">
      <c r="C61" s="2" t="s">
        <v>137</v>
      </c>
      <c r="D61" s="8">
        <f>0.5*25/D28</f>
        <v>1.25</v>
      </c>
      <c r="E61" s="11" t="s">
        <v>139</v>
      </c>
      <c r="F61" s="2" t="s">
        <v>140</v>
      </c>
      <c r="H61"/>
      <c r="I61"/>
      <c r="J61"/>
      <c r="K61"/>
      <c r="L61"/>
    </row>
    <row r="62" spans="1:12" x14ac:dyDescent="0.3">
      <c r="C62" s="2" t="s">
        <v>138</v>
      </c>
      <c r="D62" s="8">
        <f>0.5*25/D28</f>
        <v>1.25</v>
      </c>
      <c r="E62" s="2" t="s">
        <v>139</v>
      </c>
      <c r="F62" s="2" t="s">
        <v>140</v>
      </c>
      <c r="H62"/>
      <c r="I62"/>
      <c r="J62"/>
      <c r="K62"/>
      <c r="L62"/>
    </row>
    <row r="63" spans="1:12" x14ac:dyDescent="0.3">
      <c r="H63"/>
      <c r="I63"/>
      <c r="J63"/>
      <c r="K63"/>
      <c r="L63"/>
    </row>
    <row r="64" spans="1:12" x14ac:dyDescent="0.3">
      <c r="B64" s="1" t="s">
        <v>71</v>
      </c>
      <c r="H64"/>
      <c r="I64"/>
      <c r="J64"/>
      <c r="K64"/>
      <c r="L64"/>
    </row>
    <row r="65" spans="1:12" x14ac:dyDescent="0.3">
      <c r="C65" s="2" t="s">
        <v>1</v>
      </c>
      <c r="D65" s="2" t="s">
        <v>2</v>
      </c>
      <c r="E65" s="2" t="s">
        <v>23</v>
      </c>
      <c r="H65"/>
      <c r="I65"/>
      <c r="J65"/>
      <c r="K65"/>
      <c r="L65"/>
    </row>
    <row r="66" spans="1:12" x14ac:dyDescent="0.3">
      <c r="C66" s="2" t="s">
        <v>3</v>
      </c>
      <c r="D66" s="2" t="s">
        <v>2</v>
      </c>
      <c r="E66" s="2" t="s">
        <v>20</v>
      </c>
      <c r="H66"/>
      <c r="I66"/>
      <c r="J66"/>
      <c r="K66"/>
      <c r="L66"/>
    </row>
    <row r="67" spans="1:12" x14ac:dyDescent="0.3">
      <c r="C67" s="2" t="s">
        <v>5</v>
      </c>
      <c r="D67" s="8">
        <f>D18+1</f>
        <v>61</v>
      </c>
      <c r="E67" s="2" t="s">
        <v>117</v>
      </c>
      <c r="F67" s="2" t="s">
        <v>73</v>
      </c>
      <c r="H67"/>
      <c r="I67"/>
      <c r="J67"/>
      <c r="K67"/>
      <c r="L67"/>
    </row>
    <row r="68" spans="1:12" x14ac:dyDescent="0.3">
      <c r="C68" s="2" t="s">
        <v>4</v>
      </c>
      <c r="D68" s="2" t="s">
        <v>6</v>
      </c>
      <c r="E68" s="2" t="s">
        <v>146</v>
      </c>
      <c r="H68"/>
      <c r="I68"/>
      <c r="J68"/>
      <c r="K68"/>
      <c r="L68"/>
    </row>
    <row r="69" spans="1:12" x14ac:dyDescent="0.3">
      <c r="C69" s="1" t="s">
        <v>7</v>
      </c>
      <c r="D69" s="1" t="s">
        <v>8</v>
      </c>
      <c r="E69" s="6" t="s">
        <v>112</v>
      </c>
      <c r="F69" s="2" t="s">
        <v>125</v>
      </c>
      <c r="H69"/>
      <c r="I69"/>
      <c r="J69"/>
      <c r="K69"/>
      <c r="L69"/>
    </row>
    <row r="70" spans="1:12" x14ac:dyDescent="0.3">
      <c r="C70" s="2" t="s">
        <v>21</v>
      </c>
      <c r="D70" s="2" t="s">
        <v>6</v>
      </c>
      <c r="E70" s="2" t="s">
        <v>143</v>
      </c>
      <c r="H70"/>
      <c r="I70"/>
      <c r="J70"/>
      <c r="K70"/>
      <c r="L70"/>
    </row>
    <row r="71" spans="1:12" x14ac:dyDescent="0.3">
      <c r="C71" s="2" t="s">
        <v>22</v>
      </c>
      <c r="D71" s="2" t="s">
        <v>18</v>
      </c>
      <c r="E71" s="2" t="s">
        <v>74</v>
      </c>
    </row>
    <row r="73" spans="1:12" x14ac:dyDescent="0.3">
      <c r="A73" s="1" t="s">
        <v>75</v>
      </c>
    </row>
    <row r="75" spans="1:12" x14ac:dyDescent="0.3">
      <c r="B75" s="2" t="s">
        <v>82</v>
      </c>
    </row>
    <row r="76" spans="1:12" x14ac:dyDescent="0.3">
      <c r="B76" s="2" t="s">
        <v>83</v>
      </c>
    </row>
    <row r="77" spans="1:12" x14ac:dyDescent="0.3">
      <c r="B77" s="2" t="s">
        <v>76</v>
      </c>
    </row>
    <row r="78" spans="1:12" x14ac:dyDescent="0.3">
      <c r="B78" s="2" t="s">
        <v>80</v>
      </c>
    </row>
    <row r="79" spans="1:12" x14ac:dyDescent="0.3">
      <c r="B79" s="2" t="s">
        <v>77</v>
      </c>
    </row>
    <row r="80" spans="1:12" x14ac:dyDescent="0.3">
      <c r="B80" s="2" t="s">
        <v>79</v>
      </c>
    </row>
    <row r="81" spans="1:6" x14ac:dyDescent="0.3">
      <c r="B81" s="2" t="s">
        <v>78</v>
      </c>
    </row>
    <row r="82" spans="1:6" x14ac:dyDescent="0.3">
      <c r="B82" s="2" t="s">
        <v>81</v>
      </c>
    </row>
    <row r="83" spans="1:6" x14ac:dyDescent="0.3">
      <c r="B83" s="2" t="s">
        <v>94</v>
      </c>
    </row>
    <row r="84" spans="1:6" x14ac:dyDescent="0.3">
      <c r="B84" s="2" t="s">
        <v>86</v>
      </c>
      <c r="D84" s="10">
        <v>10</v>
      </c>
      <c r="E84" s="2" t="s">
        <v>142</v>
      </c>
      <c r="F84" s="2" t="s">
        <v>145</v>
      </c>
    </row>
    <row r="85" spans="1:6" x14ac:dyDescent="0.3">
      <c r="D85" s="10">
        <v>5</v>
      </c>
      <c r="E85" s="2" t="s">
        <v>103</v>
      </c>
      <c r="F85" s="2" t="s">
        <v>104</v>
      </c>
    </row>
    <row r="86" spans="1:6" x14ac:dyDescent="0.3">
      <c r="F86" s="2" t="s">
        <v>106</v>
      </c>
    </row>
    <row r="87" spans="1:6" x14ac:dyDescent="0.3">
      <c r="A87" s="1" t="s">
        <v>96</v>
      </c>
    </row>
    <row r="89" spans="1:6" x14ac:dyDescent="0.3">
      <c r="B89" s="1" t="s">
        <v>87</v>
      </c>
      <c r="D89" s="10">
        <v>30</v>
      </c>
      <c r="E89" s="2" t="s">
        <v>142</v>
      </c>
      <c r="F89" s="2" t="s">
        <v>88</v>
      </c>
    </row>
    <row r="90" spans="1:6" x14ac:dyDescent="0.3">
      <c r="D90" s="10">
        <v>1500</v>
      </c>
      <c r="E90" s="2" t="s">
        <v>90</v>
      </c>
      <c r="F90" s="2" t="s">
        <v>91</v>
      </c>
    </row>
    <row r="91" spans="1:6" x14ac:dyDescent="0.3">
      <c r="D91"/>
    </row>
    <row r="92" spans="1:6" x14ac:dyDescent="0.3">
      <c r="B92" s="1" t="s">
        <v>160</v>
      </c>
      <c r="D92"/>
    </row>
    <row r="93" spans="1:6" x14ac:dyDescent="0.3">
      <c r="B93" s="1"/>
      <c r="C93" s="2" t="s">
        <v>150</v>
      </c>
      <c r="D93" s="2" t="s">
        <v>148</v>
      </c>
      <c r="E93" s="2" t="s">
        <v>149</v>
      </c>
      <c r="F93" s="2" t="s">
        <v>161</v>
      </c>
    </row>
    <row r="94" spans="1:6" x14ac:dyDescent="0.3">
      <c r="B94" s="1"/>
      <c r="C94" s="2" t="s">
        <v>151</v>
      </c>
      <c r="D94" s="2" t="s">
        <v>15</v>
      </c>
      <c r="E94" s="2" t="s">
        <v>152</v>
      </c>
      <c r="F94" s="2" t="s">
        <v>153</v>
      </c>
    </row>
    <row r="96" spans="1:6" x14ac:dyDescent="0.3">
      <c r="B96" s="1" t="s">
        <v>154</v>
      </c>
      <c r="D96" s="1" t="s">
        <v>65</v>
      </c>
      <c r="E96" s="1" t="s">
        <v>66</v>
      </c>
    </row>
    <row r="97" spans="2:6" x14ac:dyDescent="0.3">
      <c r="C97" s="2" t="s">
        <v>9</v>
      </c>
      <c r="D97" s="2">
        <v>2.5</v>
      </c>
      <c r="E97" s="7">
        <f>96*D97*1.1</f>
        <v>264</v>
      </c>
      <c r="F97" s="2" t="s">
        <v>84</v>
      </c>
    </row>
    <row r="98" spans="2:6" x14ac:dyDescent="0.3">
      <c r="C98" s="2" t="s">
        <v>10</v>
      </c>
      <c r="D98" s="2">
        <v>0.5</v>
      </c>
      <c r="E98" s="7">
        <f>96*D98*1.1</f>
        <v>52.800000000000004</v>
      </c>
      <c r="F98" s="2" t="s">
        <v>84</v>
      </c>
    </row>
    <row r="99" spans="2:6" x14ac:dyDescent="0.3">
      <c r="C99" s="2" t="s">
        <v>92</v>
      </c>
      <c r="D99" s="2">
        <v>1.5</v>
      </c>
      <c r="E99" s="7">
        <f>96*D99*1.1</f>
        <v>158.4</v>
      </c>
      <c r="F99" s="2" t="s">
        <v>85</v>
      </c>
    </row>
    <row r="100" spans="2:6" x14ac:dyDescent="0.3">
      <c r="C100" s="2" t="s">
        <v>93</v>
      </c>
      <c r="D100" s="9">
        <f>D84*D106*D90/D89/(D17-75)/D85/1.1</f>
        <v>4.0404040404040407</v>
      </c>
      <c r="E100" s="7">
        <f>96*D100*1.1</f>
        <v>426.66666666666669</v>
      </c>
      <c r="F100" s="2" t="s">
        <v>144</v>
      </c>
    </row>
    <row r="101" spans="2:6" x14ac:dyDescent="0.3">
      <c r="C101" s="2" t="s">
        <v>47</v>
      </c>
      <c r="D101" s="9">
        <f>25-SUM(D97:D100)-D106</f>
        <v>6.4595959595959584</v>
      </c>
      <c r="E101" s="7">
        <f>96*D101*1.1</f>
        <v>682.13333333333321</v>
      </c>
      <c r="F101" s="2" t="s">
        <v>107</v>
      </c>
    </row>
    <row r="102" spans="2:6" x14ac:dyDescent="0.3">
      <c r="E102"/>
      <c r="F102" s="2" t="s">
        <v>108</v>
      </c>
    </row>
    <row r="103" spans="2:6" x14ac:dyDescent="0.3">
      <c r="B103" s="1" t="s">
        <v>155</v>
      </c>
      <c r="D103" s="9">
        <f>SUM(D97:D101)</f>
        <v>15</v>
      </c>
    </row>
    <row r="105" spans="2:6" x14ac:dyDescent="0.3">
      <c r="B105" s="1" t="s">
        <v>156</v>
      </c>
      <c r="D105" s="1"/>
    </row>
    <row r="106" spans="2:6" x14ac:dyDescent="0.3">
      <c r="C106" s="2" t="s">
        <v>95</v>
      </c>
      <c r="D106" s="10">
        <v>10</v>
      </c>
      <c r="E106" s="2" t="s">
        <v>139</v>
      </c>
      <c r="F106" s="2" t="s">
        <v>105</v>
      </c>
    </row>
    <row r="107" spans="2:6" x14ac:dyDescent="0.3">
      <c r="C107" s="2" t="s">
        <v>109</v>
      </c>
    </row>
    <row r="109" spans="2:6" x14ac:dyDescent="0.3">
      <c r="B109" s="1" t="s">
        <v>157</v>
      </c>
    </row>
    <row r="110" spans="2:6" x14ac:dyDescent="0.3">
      <c r="C110" s="2" t="s">
        <v>16</v>
      </c>
      <c r="D110" s="2" t="s">
        <v>13</v>
      </c>
      <c r="E110" s="2" t="s">
        <v>14</v>
      </c>
    </row>
    <row r="111" spans="2:6" x14ac:dyDescent="0.3">
      <c r="C111" s="2" t="s">
        <v>17</v>
      </c>
      <c r="D111" s="2" t="s">
        <v>15</v>
      </c>
      <c r="E111" s="2" t="s">
        <v>14</v>
      </c>
    </row>
    <row r="112" spans="2:6" x14ac:dyDescent="0.3">
      <c r="C112" s="1" t="s">
        <v>7</v>
      </c>
      <c r="D112" s="1" t="s">
        <v>8</v>
      </c>
      <c r="E112" s="1" t="s">
        <v>19</v>
      </c>
      <c r="F112" s="2" t="s">
        <v>123</v>
      </c>
    </row>
    <row r="113" spans="1:5" x14ac:dyDescent="0.3">
      <c r="C113" s="2" t="s">
        <v>22</v>
      </c>
      <c r="D113" s="2" t="s">
        <v>18</v>
      </c>
      <c r="E113" s="2" t="s">
        <v>74</v>
      </c>
    </row>
    <row r="115" spans="1:5" x14ac:dyDescent="0.3">
      <c r="B115" s="1" t="s">
        <v>158</v>
      </c>
    </row>
    <row r="116" spans="1:5" x14ac:dyDescent="0.3">
      <c r="C116" s="1" t="s">
        <v>119</v>
      </c>
    </row>
    <row r="118" spans="1:5" x14ac:dyDescent="0.3">
      <c r="A118" s="1" t="s">
        <v>118</v>
      </c>
    </row>
    <row r="120" spans="1:5" x14ac:dyDescent="0.3">
      <c r="B120" s="2" t="s">
        <v>114</v>
      </c>
    </row>
    <row r="121" spans="1:5" x14ac:dyDescent="0.3">
      <c r="B121" s="2" t="s">
        <v>115</v>
      </c>
    </row>
    <row r="122" spans="1:5" x14ac:dyDescent="0.3">
      <c r="B122" s="2" t="s">
        <v>116</v>
      </c>
    </row>
    <row r="123" spans="1:5" x14ac:dyDescent="0.3">
      <c r="B123" s="2" t="s">
        <v>113</v>
      </c>
    </row>
    <row r="124" spans="1:5" x14ac:dyDescent="0.3">
      <c r="B124" s="2" t="s">
        <v>130</v>
      </c>
    </row>
    <row r="125" spans="1:5" x14ac:dyDescent="0.3">
      <c r="B125" s="2" t="s">
        <v>132</v>
      </c>
      <c r="D125" s="3"/>
    </row>
    <row r="126" spans="1:5" x14ac:dyDescent="0.3">
      <c r="B126" s="2" t="s">
        <v>129</v>
      </c>
      <c r="D126" s="3"/>
    </row>
    <row r="127" spans="1:5" x14ac:dyDescent="0.3">
      <c r="B127" s="2" t="s">
        <v>131</v>
      </c>
      <c r="D127" s="3"/>
    </row>
    <row r="128" spans="1:5" x14ac:dyDescent="0.3">
      <c r="D128" s="3"/>
    </row>
    <row r="129" spans="1:4" x14ac:dyDescent="0.3">
      <c r="A129" s="1" t="s">
        <v>120</v>
      </c>
      <c r="D129" s="3"/>
    </row>
    <row r="130" spans="1:4" x14ac:dyDescent="0.3">
      <c r="B130" s="3" t="s">
        <v>133</v>
      </c>
      <c r="D130" s="3"/>
    </row>
    <row r="131" spans="1:4" x14ac:dyDescent="0.3">
      <c r="B131" s="2" t="s">
        <v>128</v>
      </c>
      <c r="D131" s="3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Salis</dc:creator>
  <cp:lastModifiedBy>Howard Salis</cp:lastModifiedBy>
  <dcterms:created xsi:type="dcterms:W3CDTF">2023-05-22T00:20:39Z</dcterms:created>
  <dcterms:modified xsi:type="dcterms:W3CDTF">2026-06-01T19:33:11Z</dcterms:modified>
</cp:coreProperties>
</file>